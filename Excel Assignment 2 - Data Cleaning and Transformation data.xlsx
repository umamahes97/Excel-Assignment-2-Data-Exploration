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d9c0ddcf1e3a51/Desktop/Data Analystics/My Assignments/"/>
    </mc:Choice>
  </mc:AlternateContent>
  <xr:revisionPtr revIDLastSave="0" documentId="14_{E90E836A-038F-4F02-9FF7-69E7387112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4" r:id="rId1"/>
    <sheet name="Imputed Data" sheetId="3" r:id="rId2"/>
  </sheets>
  <definedNames>
    <definedName name="_xlnm._FilterDatabase" localSheetId="1" hidden="1">'Imputed Data'!$A$1:$S$35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</calcChain>
</file>

<file path=xl/sharedStrings.xml><?xml version="1.0" encoding="utf-8"?>
<sst xmlns="http://schemas.openxmlformats.org/spreadsheetml/2006/main" count="362" uniqueCount="172">
  <si>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</si>
  <si>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</si>
  <si>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</si>
  <si>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</si>
  <si>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</si>
  <si>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</si>
  <si>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</si>
  <si>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</si>
  <si>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</si>
  <si>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</si>
  <si>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</si>
  <si>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</si>
  <si>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</si>
  <si>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</si>
  <si>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</si>
  <si>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</si>
  <si>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</si>
  <si>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</si>
  <si>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</si>
  <si>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</si>
  <si>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</si>
  <si>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</si>
  <si>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</si>
  <si>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</si>
  <si>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</si>
  <si>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</si>
  <si>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</si>
  <si>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</si>
  <si>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</si>
  <si>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</si>
  <si>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</si>
  <si>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</si>
  <si>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</si>
  <si>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</si>
  <si>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</si>
  <si>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</si>
  <si>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</si>
  <si>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</si>
  <si>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</si>
  <si>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</si>
  <si>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</si>
  <si>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</si>
  <si>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</si>
  <si>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</si>
  <si>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</si>
  <si>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</si>
  <si>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</si>
  <si>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</si>
  <si>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</si>
  <si>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</si>
  <si>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</si>
  <si>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</si>
  <si>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</si>
  <si>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</si>
  <si>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</si>
  <si>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</si>
  <si>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</si>
  <si>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</si>
  <si>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</si>
  <si>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</si>
  <si>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</si>
  <si>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</si>
  <si>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</si>
  <si>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</si>
  <si>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</si>
  <si>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</si>
  <si>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</si>
  <si>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</si>
  <si>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</si>
  <si>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</si>
  <si>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</si>
  <si>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</si>
  <si>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</si>
  <si>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</si>
  <si>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</si>
  <si>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</si>
  <si>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</si>
  <si>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</si>
  <si>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</si>
  <si>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</si>
  <si>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</si>
  <si>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</si>
  <si>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</si>
  <si>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</si>
  <si>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</si>
  <si>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</si>
  <si>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</si>
  <si>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</si>
  <si>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</si>
  <si>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</si>
  <si>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</si>
  <si>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</si>
  <si>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 No:1</t>
  </si>
  <si>
    <t>1.Check for Missing Values in Price Column?</t>
  </si>
  <si>
    <t>Using IF with ISBLANK Functions to check the</t>
  </si>
  <si>
    <t>missing values in the price column</t>
  </si>
  <si>
    <t xml:space="preserve">Average of the total price column and to handle </t>
  </si>
  <si>
    <t>the missing values of the given price column.</t>
  </si>
  <si>
    <t>IF(ISBLANK(D2),AVERAGE($D$2:$D$35),D2)</t>
  </si>
  <si>
    <t>MISSING VALUE IS  $309.35</t>
  </si>
  <si>
    <t>T-Shirt</t>
  </si>
  <si>
    <t>Unknown</t>
  </si>
  <si>
    <t>1.Identify the inconsistent text in product Name and Category column?</t>
  </si>
  <si>
    <t>to clean the inconsistent data from product name and category column</t>
  </si>
  <si>
    <t>Using cleaning,Trimming and Proper functions are used</t>
  </si>
  <si>
    <t>PROPER(TRIM(CLEAN(B2)))</t>
  </si>
  <si>
    <t>2.Find out the misspellings in Product and Category columns?</t>
  </si>
  <si>
    <t>Using Find and replace function to found out the errors in category</t>
  </si>
  <si>
    <t>I Found that the unknown column and recorrect the spelling of electronics category</t>
  </si>
  <si>
    <t>Questions No:3</t>
  </si>
  <si>
    <t>3.Remove Duplicates in the entire row</t>
  </si>
  <si>
    <t>Product Brand</t>
  </si>
  <si>
    <t>Questions No:4</t>
  </si>
  <si>
    <t>4.Splitting and Merging Data</t>
  </si>
  <si>
    <t>Using Left and Right Fuctions to splitt the Product ID converted to two columns</t>
  </si>
  <si>
    <t>Country Code=Right(A2,2)</t>
  </si>
  <si>
    <t>Merging Data</t>
  </si>
  <si>
    <t xml:space="preserve">To Merge the Brand Name and Product Name </t>
  </si>
  <si>
    <t>Concatenate(E2," ",D2)</t>
  </si>
  <si>
    <t>Questions No:5</t>
  </si>
  <si>
    <t>Number Formatting</t>
  </si>
  <si>
    <t>Go to home tap and select the Number Folder and to select the currency format</t>
  </si>
  <si>
    <t>$1000</t>
  </si>
  <si>
    <t>2.To Format the Manufacturing date column in DD MM YY format</t>
  </si>
  <si>
    <t>1.To Format the price column in Currency Format</t>
  </si>
  <si>
    <t>Go to home tap and select the Number Folder and to select the Date format</t>
  </si>
  <si>
    <t>Year not given in the data set</t>
  </si>
  <si>
    <t>Questions No:6</t>
  </si>
  <si>
    <t>Conditional Formatting</t>
  </si>
  <si>
    <t xml:space="preserve">1.Apply data bar or color scales in price column </t>
  </si>
  <si>
    <t>Applying color scales to detect the highest ,medium and lowest price in the given data set</t>
  </si>
  <si>
    <t>Green,Yellow and Red colors</t>
  </si>
  <si>
    <t>2.To Highlight the Electronics in Category column</t>
  </si>
  <si>
    <t>Applying Custom rule in conditional formatting to highlight the electronics category</t>
  </si>
  <si>
    <t>Manufacturing Date =Left(A2,6)</t>
  </si>
  <si>
    <t xml:space="preserve">Non Numerical Data -It is not find the average Value </t>
  </si>
  <si>
    <t>So I can use the Unknown Category in this Data Set.</t>
  </si>
  <si>
    <t>IF(ISBLANK(G2),AVERAGE($G$2:$G$35),G2)</t>
  </si>
  <si>
    <t>2.Check for Missing Category in Category  Column?</t>
  </si>
  <si>
    <t>missing category in the Category column</t>
  </si>
  <si>
    <t>Missing Category- Four Unknown Category</t>
  </si>
  <si>
    <t>Questions No:2</t>
  </si>
  <si>
    <t>Corrcting Inconsistent Data</t>
  </si>
  <si>
    <t>PROPER(TRIM(CLEAN(G2)))</t>
  </si>
  <si>
    <t>No Misspelling words in Product column</t>
  </si>
  <si>
    <t>Shortcut Cntrl+H</t>
  </si>
  <si>
    <t>laptop</t>
  </si>
  <si>
    <t>smartphone</t>
  </si>
  <si>
    <t>Electroni</t>
  </si>
  <si>
    <t>T-shirt</t>
  </si>
  <si>
    <t>headphones</t>
  </si>
  <si>
    <t>Manufacturing Date</t>
  </si>
  <si>
    <t>Country Code</t>
  </si>
  <si>
    <t>Using Remove duplicates function to found the duplicate values in the data set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</si>
  <si>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</si>
  <si>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</si>
  <si>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</si>
  <si>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</si>
  <si>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</si>
  <si>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</si>
  <si>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</si>
  <si>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</si>
  <si>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</si>
  <si>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</si>
  <si>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</si>
  <si>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</si>
  <si>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 Year is taken as 1900 inbuilt function in computer</t>
  </si>
  <si>
    <t>DD-MM-YY</t>
  </si>
  <si>
    <t>MM</t>
  </si>
  <si>
    <t>Go to Home Tab and then Select the Conditional Formatting</t>
  </si>
  <si>
    <t>Electronics in Green fill dark green text</t>
  </si>
  <si>
    <t>Highlight cells Rules-  Select Text that contains and get the highlight the specfic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</si>
</sst>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-F800]dddd\,\ mmmm\ dd\,\ yyyy"/>
    <numFmt numFmtId="166" formatCode="[$-14009]dd/mm/yyyy;@"/>
  </numFmts>
  <fonts count="12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4" fillId="4" borderId="0" xfId="0" applyFont="1" applyFill="1"/>
    <xf numFmtId="0" fontId="2" fillId="5" borderId="0" xfId="0" applyFont="1" applyFill="1"/>
    <xf numFmtId="0" fontId="4" fillId="5" borderId="0" xfId="0" applyFont="1" applyFill="1"/>
    <xf numFmtId="0" fontId="5" fillId="5" borderId="0" xfId="0" applyFont="1" applyFill="1"/>
    <xf numFmtId="0" fontId="6" fillId="4" borderId="0" xfId="0" applyFont="1" applyFill="1"/>
    <xf numFmtId="16" fontId="4" fillId="5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3" fillId="6" borderId="0" xfId="0" applyFont="1" applyFill="1" applyAlignment="1">
      <alignment vertical="center"/>
    </xf>
    <xf numFmtId="164" fontId="11" fillId="2" borderId="0" xfId="0" applyNumberFormat="1" applyFont="1" applyFill="1" applyAlignment="1">
      <alignment horizontal="center"/>
    </xf>
    <xf numFmtId="164" fontId="8" fillId="0" borderId="0" xfId="0" applyNumberFormat="1" applyFont="1"/>
    <xf numFmtId="164" fontId="8" fillId="3" borderId="0" xfId="0" applyNumberFormat="1" applyFont="1" applyFill="1"/>
    <xf numFmtId="0" fontId="5" fillId="7" borderId="0" xfId="0" applyFont="1" applyFill="1"/>
    <xf numFmtId="0" fontId="5" fillId="7" borderId="0" xfId="0" applyFont="1" applyFill="1" applyAlignment="1">
      <alignment wrapText="1"/>
    </xf>
    <xf numFmtId="0" fontId="5" fillId="7" borderId="0" xfId="0" applyFont="1" applyFill="1" applyAlignment="1">
      <alignment horizontal="left" vertical="top" wrapText="1"/>
    </xf>
    <xf numFmtId="0" fontId="4" fillId="7" borderId="0" xfId="0" applyFont="1" applyFill="1"/>
    <xf numFmtId="14" fontId="8" fillId="0" borderId="0" xfId="0" applyNumberFormat="1" applyFont="1"/>
    <xf numFmtId="165" fontId="7" fillId="2" borderId="0" xfId="0" applyNumberFormat="1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4" fontId="11" fillId="2" borderId="0" xfId="0" applyNumberFormat="1" applyFont="1" applyFill="1" applyAlignment="1">
      <alignment horizontal="center"/>
    </xf>
    <xf numFmtId="166" fontId="11" fillId="2" borderId="0" xfId="0" applyNumberFormat="1" applyFont="1" applyFill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F6B2-31F2-4BE8-8E2C-CA50D7FBCC04}">
  <dimension ref="A1:P1000"/>
  <sheetViews>
    <sheetView workbookViewId="0">
      <selection activeCell="G7" sqref="G7"/>
    </sheetView>
  </sheetViews>
  <sheetFormatPr defaultColWidth="12.6640625" defaultRowHeight="13.2"/>
  <sheetData>
    <row r="1" spans="1:16" ht="15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16" ht="15.75" customHeight="1">
      <c r="A2" s="11" t="s">
        <v>6</v>
      </c>
      <c r="B2" s="11" t="s">
        <v>146</v>
      </c>
      <c r="C2" s="11" t="s">
        <v>7</v>
      </c>
      <c r="D2" s="11">
        <v>1000</v>
      </c>
      <c r="E2" s="11">
        <v>30</v>
      </c>
      <c r="F2" s="11" t="s">
        <v>8</v>
      </c>
    </row>
    <row r="3" spans="1:16" ht="15.75" customHeight="1">
      <c r="A3" s="12" t="s">
        <v>9</v>
      </c>
      <c r="B3" s="12" t="s">
        <v>10</v>
      </c>
      <c r="C3" s="12" t="s">
        <v>11</v>
      </c>
      <c r="D3" s="12">
        <v>80</v>
      </c>
      <c r="E3" s="12">
        <v>15</v>
      </c>
      <c r="F3" s="12" t="s">
        <v>12</v>
      </c>
      <c r="I3" s="13"/>
      <c r="J3" s="11"/>
      <c r="K3" s="11"/>
      <c r="L3" s="11"/>
      <c r="M3" s="11"/>
      <c r="N3" s="11"/>
      <c r="O3" s="11"/>
      <c r="P3" s="11"/>
    </row>
    <row r="4" spans="1:16" ht="15.75" customHeight="1">
      <c r="A4" s="11" t="s">
        <v>13</v>
      </c>
      <c r="B4" s="11" t="s">
        <v>14</v>
      </c>
      <c r="C4" s="11" t="s">
        <v>15</v>
      </c>
      <c r="D4" s="11">
        <v>130</v>
      </c>
      <c r="E4" s="11">
        <v>40</v>
      </c>
      <c r="F4" s="11" t="s">
        <v>16</v>
      </c>
      <c r="I4" s="11"/>
      <c r="J4" s="14"/>
      <c r="K4" s="11"/>
      <c r="L4" s="11"/>
      <c r="M4" s="11"/>
      <c r="N4" s="11"/>
      <c r="O4" s="11"/>
      <c r="P4" s="11"/>
    </row>
    <row r="5" spans="1:16" ht="15.75" customHeight="1">
      <c r="A5" s="12" t="s">
        <v>17</v>
      </c>
      <c r="B5" s="12" t="s">
        <v>147</v>
      </c>
      <c r="C5" s="12" t="s">
        <v>18</v>
      </c>
      <c r="D5" s="12">
        <v>900</v>
      </c>
      <c r="E5" s="12">
        <v>25</v>
      </c>
      <c r="F5" s="12" t="s">
        <v>8</v>
      </c>
      <c r="I5" s="11"/>
      <c r="J5" s="14"/>
      <c r="K5" s="11"/>
      <c r="L5" s="11"/>
      <c r="M5" s="11"/>
      <c r="N5" s="11"/>
      <c r="O5" s="11"/>
      <c r="P5" s="11"/>
    </row>
    <row r="6" spans="1:16" ht="15.75" customHeight="1">
      <c r="A6" s="11" t="s">
        <v>19</v>
      </c>
      <c r="B6" s="11" t="s">
        <v>20</v>
      </c>
      <c r="C6" s="11" t="s">
        <v>21</v>
      </c>
      <c r="D6" s="11">
        <v>70</v>
      </c>
      <c r="E6" s="11">
        <v>20</v>
      </c>
      <c r="F6" s="11"/>
    </row>
    <row r="7" spans="1:16" ht="15.75" customHeight="1">
      <c r="A7" s="12" t="s">
        <v>22</v>
      </c>
      <c r="B7" s="12" t="s">
        <v>23</v>
      </c>
      <c r="C7" s="12" t="s">
        <v>24</v>
      </c>
      <c r="D7" s="12"/>
      <c r="E7" s="12">
        <v>45</v>
      </c>
      <c r="F7" s="12" t="s">
        <v>148</v>
      </c>
    </row>
    <row r="8" spans="1:16" ht="15.75" customHeight="1">
      <c r="A8" s="11" t="s">
        <v>25</v>
      </c>
      <c r="B8" s="11" t="s">
        <v>149</v>
      </c>
      <c r="C8" s="11" t="s">
        <v>26</v>
      </c>
      <c r="D8" s="11">
        <v>30</v>
      </c>
      <c r="E8" s="11">
        <v>5</v>
      </c>
      <c r="F8" s="11" t="s">
        <v>12</v>
      </c>
    </row>
    <row r="9" spans="1:16" ht="15.75" customHeight="1">
      <c r="A9" s="12" t="s">
        <v>27</v>
      </c>
      <c r="B9" s="12" t="s">
        <v>28</v>
      </c>
      <c r="C9" s="12" t="s">
        <v>29</v>
      </c>
      <c r="D9" s="12">
        <v>90</v>
      </c>
      <c r="E9" s="12">
        <v>35</v>
      </c>
      <c r="F9" s="12" t="s">
        <v>16</v>
      </c>
    </row>
    <row r="10" spans="1:16" ht="15.75" customHeight="1">
      <c r="A10" s="11" t="s">
        <v>30</v>
      </c>
      <c r="B10" s="11" t="s">
        <v>31</v>
      </c>
      <c r="C10" s="11" t="s">
        <v>32</v>
      </c>
      <c r="D10" s="11">
        <v>500</v>
      </c>
      <c r="E10" s="11">
        <v>50</v>
      </c>
      <c r="F10" s="11" t="s">
        <v>8</v>
      </c>
    </row>
    <row r="11" spans="1:16" ht="15.75" customHeight="1">
      <c r="A11" s="12" t="s">
        <v>33</v>
      </c>
      <c r="B11" s="12" t="s">
        <v>34</v>
      </c>
      <c r="C11" s="12" t="s">
        <v>35</v>
      </c>
      <c r="D11" s="12">
        <v>130</v>
      </c>
      <c r="E11" s="12">
        <v>10</v>
      </c>
      <c r="F11" s="12" t="s">
        <v>36</v>
      </c>
    </row>
    <row r="12" spans="1:16" ht="15.75" customHeight="1">
      <c r="A12" s="11" t="s">
        <v>37</v>
      </c>
      <c r="B12" s="11" t="s">
        <v>38</v>
      </c>
      <c r="C12" s="11" t="s">
        <v>39</v>
      </c>
      <c r="D12" s="11">
        <v>950</v>
      </c>
      <c r="E12" s="11">
        <v>25</v>
      </c>
      <c r="F12" s="11" t="s">
        <v>8</v>
      </c>
    </row>
    <row r="13" spans="1:16" ht="15.75" customHeight="1">
      <c r="A13" s="12" t="s">
        <v>40</v>
      </c>
      <c r="B13" s="12" t="s">
        <v>10</v>
      </c>
      <c r="C13" s="12" t="s">
        <v>26</v>
      </c>
      <c r="D13" s="12">
        <v>90</v>
      </c>
      <c r="E13" s="12">
        <v>40</v>
      </c>
      <c r="F13" s="12"/>
    </row>
    <row r="14" spans="1:16" ht="15.75" customHeight="1">
      <c r="A14" s="11" t="s">
        <v>41</v>
      </c>
      <c r="B14" s="11" t="s">
        <v>14</v>
      </c>
      <c r="C14" s="11" t="s">
        <v>42</v>
      </c>
      <c r="D14" s="11">
        <v>120</v>
      </c>
      <c r="E14" s="11">
        <v>35</v>
      </c>
      <c r="F14" s="11"/>
    </row>
    <row r="15" spans="1:16" ht="15.75" customHeight="1">
      <c r="A15" s="12" t="s">
        <v>43</v>
      </c>
      <c r="B15" s="12" t="s">
        <v>44</v>
      </c>
      <c r="C15" s="12" t="s">
        <v>45</v>
      </c>
      <c r="D15" s="12">
        <v>150</v>
      </c>
      <c r="E15" s="12">
        <v>15</v>
      </c>
      <c r="F15" s="12" t="s">
        <v>148</v>
      </c>
    </row>
    <row r="16" spans="1:16" ht="15.75" customHeight="1">
      <c r="A16" s="11" t="s">
        <v>46</v>
      </c>
      <c r="B16" s="11" t="s">
        <v>150</v>
      </c>
      <c r="C16" s="11" t="s">
        <v>47</v>
      </c>
      <c r="D16" s="11">
        <v>250</v>
      </c>
      <c r="E16" s="11">
        <v>20</v>
      </c>
      <c r="F16" s="11" t="s">
        <v>148</v>
      </c>
    </row>
    <row r="17" spans="1:6" ht="15.75" customHeight="1">
      <c r="A17" s="12" t="s">
        <v>48</v>
      </c>
      <c r="B17" s="12" t="s">
        <v>49</v>
      </c>
      <c r="C17" s="12" t="s">
        <v>50</v>
      </c>
      <c r="D17" s="12">
        <v>50</v>
      </c>
      <c r="E17" s="12">
        <v>35</v>
      </c>
      <c r="F17" s="12" t="s">
        <v>51</v>
      </c>
    </row>
    <row r="18" spans="1:6" ht="15.75" customHeight="1">
      <c r="A18" s="11" t="s">
        <v>52</v>
      </c>
      <c r="B18" s="11" t="s">
        <v>44</v>
      </c>
      <c r="C18" s="11" t="s">
        <v>53</v>
      </c>
      <c r="D18" s="11">
        <v>160</v>
      </c>
      <c r="E18" s="11">
        <v>15</v>
      </c>
      <c r="F18" s="11" t="s">
        <v>148</v>
      </c>
    </row>
    <row r="19" spans="1:6" ht="15.75" customHeight="1">
      <c r="A19" s="12" t="s">
        <v>54</v>
      </c>
      <c r="B19" s="12" t="s">
        <v>146</v>
      </c>
      <c r="C19" s="12" t="s">
        <v>55</v>
      </c>
      <c r="D19" s="12">
        <v>980</v>
      </c>
      <c r="E19" s="12">
        <v>10</v>
      </c>
      <c r="F19" s="12" t="s">
        <v>8</v>
      </c>
    </row>
    <row r="20" spans="1:6" ht="15.75" customHeight="1">
      <c r="A20" s="11" t="s">
        <v>56</v>
      </c>
      <c r="B20" s="11" t="s">
        <v>57</v>
      </c>
      <c r="C20" s="11" t="s">
        <v>58</v>
      </c>
      <c r="D20" s="11">
        <v>150</v>
      </c>
      <c r="E20" s="11">
        <v>15</v>
      </c>
      <c r="F20" s="11" t="s">
        <v>12</v>
      </c>
    </row>
    <row r="21" spans="1:6" ht="15.75" customHeight="1">
      <c r="A21" s="12" t="s">
        <v>59</v>
      </c>
      <c r="B21" s="12" t="s">
        <v>60</v>
      </c>
      <c r="C21" s="12" t="s">
        <v>61</v>
      </c>
      <c r="D21" s="12"/>
      <c r="E21" s="12">
        <v>10</v>
      </c>
      <c r="F21" s="12" t="s">
        <v>36</v>
      </c>
    </row>
    <row r="22" spans="1:6" ht="15.75" customHeight="1">
      <c r="A22" s="11" t="s">
        <v>62</v>
      </c>
      <c r="B22" s="11" t="s">
        <v>63</v>
      </c>
      <c r="C22" s="11" t="s">
        <v>64</v>
      </c>
      <c r="D22" s="11">
        <v>700</v>
      </c>
      <c r="E22" s="11">
        <v>50</v>
      </c>
      <c r="F22" s="11" t="s">
        <v>8</v>
      </c>
    </row>
    <row r="23" spans="1:6" ht="15.75" customHeight="1">
      <c r="A23" s="12" t="s">
        <v>65</v>
      </c>
      <c r="B23" s="12" t="s">
        <v>66</v>
      </c>
      <c r="C23" s="12" t="s">
        <v>67</v>
      </c>
      <c r="D23" s="12">
        <v>80</v>
      </c>
      <c r="E23" s="12">
        <v>20</v>
      </c>
      <c r="F23" s="12" t="s">
        <v>16</v>
      </c>
    </row>
    <row r="24" spans="1:6" ht="15.75" customHeight="1">
      <c r="A24" s="11" t="s">
        <v>68</v>
      </c>
      <c r="B24" s="11" t="s">
        <v>69</v>
      </c>
      <c r="C24" s="11" t="s">
        <v>70</v>
      </c>
      <c r="D24" s="11">
        <v>150</v>
      </c>
      <c r="E24" s="11">
        <v>30</v>
      </c>
      <c r="F24" s="11"/>
    </row>
    <row r="25" spans="1:6" ht="15.75" customHeight="1">
      <c r="A25" s="12" t="s">
        <v>48</v>
      </c>
      <c r="B25" s="12" t="s">
        <v>49</v>
      </c>
      <c r="C25" s="12" t="s">
        <v>50</v>
      </c>
      <c r="D25" s="12">
        <v>50</v>
      </c>
      <c r="E25" s="12">
        <v>35</v>
      </c>
      <c r="F25" s="12" t="s">
        <v>51</v>
      </c>
    </row>
    <row r="26" spans="1:6" ht="15.75" customHeight="1">
      <c r="A26" s="11" t="s">
        <v>71</v>
      </c>
      <c r="B26" s="11" t="s">
        <v>72</v>
      </c>
      <c r="C26" s="11" t="s">
        <v>73</v>
      </c>
      <c r="D26" s="11">
        <v>800</v>
      </c>
      <c r="E26" s="11">
        <v>45</v>
      </c>
      <c r="F26" s="11" t="s">
        <v>8</v>
      </c>
    </row>
    <row r="27" spans="1:6" ht="15.75" customHeight="1">
      <c r="A27" s="12" t="s">
        <v>74</v>
      </c>
      <c r="B27" s="12" t="s">
        <v>57</v>
      </c>
      <c r="C27" s="12" t="s">
        <v>75</v>
      </c>
      <c r="D27" s="12"/>
      <c r="E27" s="12">
        <v>25</v>
      </c>
      <c r="F27" s="12" t="s">
        <v>12</v>
      </c>
    </row>
    <row r="28" spans="1:6" ht="15.75" customHeight="1">
      <c r="A28" s="11" t="s">
        <v>76</v>
      </c>
      <c r="B28" s="11" t="s">
        <v>28</v>
      </c>
      <c r="C28" s="11" t="s">
        <v>77</v>
      </c>
      <c r="D28" s="11">
        <v>400</v>
      </c>
      <c r="E28" s="11">
        <v>40</v>
      </c>
      <c r="F28" s="11" t="s">
        <v>16</v>
      </c>
    </row>
    <row r="29" spans="1:6" ht="15.75" customHeight="1">
      <c r="A29" s="12" t="s">
        <v>46</v>
      </c>
      <c r="B29" s="12" t="s">
        <v>150</v>
      </c>
      <c r="C29" s="12" t="s">
        <v>47</v>
      </c>
      <c r="D29" s="12">
        <v>250</v>
      </c>
      <c r="E29" s="12">
        <v>20</v>
      </c>
      <c r="F29" s="12" t="s">
        <v>148</v>
      </c>
    </row>
    <row r="30" spans="1:6" ht="15.75" customHeight="1">
      <c r="A30" s="11" t="s">
        <v>78</v>
      </c>
      <c r="B30" s="11" t="s">
        <v>79</v>
      </c>
      <c r="C30" s="11" t="s">
        <v>80</v>
      </c>
      <c r="D30" s="11">
        <v>60</v>
      </c>
      <c r="E30" s="11">
        <v>30</v>
      </c>
      <c r="F30" s="11" t="s">
        <v>12</v>
      </c>
    </row>
    <row r="31" spans="1:6" ht="15.75" customHeight="1">
      <c r="A31" s="12" t="s">
        <v>81</v>
      </c>
      <c r="B31" s="12" t="s">
        <v>82</v>
      </c>
      <c r="C31" s="12" t="s">
        <v>83</v>
      </c>
      <c r="D31" s="12">
        <v>40</v>
      </c>
      <c r="E31" s="12">
        <v>10</v>
      </c>
      <c r="F31" s="12" t="s">
        <v>16</v>
      </c>
    </row>
    <row r="32" spans="1:6" ht="15.75" customHeight="1">
      <c r="A32" s="11" t="s">
        <v>84</v>
      </c>
      <c r="B32" s="11" t="s">
        <v>69</v>
      </c>
      <c r="C32" s="11" t="s">
        <v>85</v>
      </c>
      <c r="D32" s="11">
        <v>130</v>
      </c>
      <c r="E32" s="11">
        <v>5</v>
      </c>
      <c r="F32" s="11" t="s">
        <v>8</v>
      </c>
    </row>
    <row r="33" spans="1:6" ht="15.75" customHeight="1">
      <c r="A33" s="12" t="s">
        <v>86</v>
      </c>
      <c r="B33" s="12" t="s">
        <v>87</v>
      </c>
      <c r="C33" s="12" t="s">
        <v>88</v>
      </c>
      <c r="D33" s="12">
        <v>50</v>
      </c>
      <c r="E33" s="12">
        <v>50</v>
      </c>
      <c r="F33" s="12" t="s">
        <v>12</v>
      </c>
    </row>
    <row r="34" spans="1:6" ht="15.75" customHeight="1">
      <c r="A34" s="11" t="s">
        <v>37</v>
      </c>
      <c r="B34" s="11" t="s">
        <v>38</v>
      </c>
      <c r="C34" s="11" t="s">
        <v>39</v>
      </c>
      <c r="D34" s="11">
        <v>950</v>
      </c>
      <c r="E34" s="11">
        <v>25</v>
      </c>
      <c r="F34" s="11" t="s">
        <v>8</v>
      </c>
    </row>
    <row r="35" spans="1:6" ht="15.75" customHeight="1">
      <c r="A35" s="12" t="s">
        <v>89</v>
      </c>
      <c r="B35" s="12" t="s">
        <v>90</v>
      </c>
      <c r="C35" s="12" t="s">
        <v>91</v>
      </c>
      <c r="D35" s="12">
        <v>100</v>
      </c>
      <c r="E35" s="12">
        <v>20</v>
      </c>
      <c r="F35" s="12" t="s">
        <v>51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19DE-A544-4C80-A15E-05F219926CCE}">
  <dimension ref="A1:S1000"/>
  <sheetViews>
    <sheetView tabSelected="1" zoomScale="66" zoomScaleNormal="66" workbookViewId="0">
      <selection activeCell="M4" sqref="M4"/>
    </sheetView>
  </sheetViews>
  <sheetFormatPr defaultColWidth="12.6640625" defaultRowHeight="13.2"/>
  <cols>
    <col min="1" max="1" width="15.88671875" customWidth="1"/>
    <col min="2" max="2" width="19.5546875" style="25" customWidth="1"/>
    <col min="3" max="3" width="14.5546875" style="1" bestFit="1" customWidth="1"/>
    <col min="4" max="4" width="8.33203125" style="26" bestFit="1" customWidth="1"/>
    <col min="5" max="5" width="17.77734375" bestFit="1" customWidth="1"/>
    <col min="6" max="6" width="18.21875" bestFit="1" customWidth="1"/>
    <col min="7" max="7" width="16.44140625" bestFit="1" customWidth="1"/>
    <col min="8" max="8" width="21.44140625" bestFit="1" customWidth="1"/>
    <col min="9" max="9" width="12.6640625" style="2"/>
    <col min="13" max="13" width="77.21875" customWidth="1"/>
    <col min="15" max="15" width="90.6640625" bestFit="1" customWidth="1"/>
    <col min="17" max="17" width="90.21875" bestFit="1" customWidth="1"/>
  </cols>
  <sheetData>
    <row r="1" spans="1:19" ht="15.75" customHeight="1">
      <c r="A1" s="10" t="s">
        <v>0</v>
      </c>
      <c r="B1" s="24" t="s">
        <v>151</v>
      </c>
      <c r="C1" s="27" t="s">
        <v>167</v>
      </c>
      <c r="D1" s="28" t="s">
        <v>168</v>
      </c>
      <c r="E1" s="10" t="s">
        <v>152</v>
      </c>
      <c r="F1" s="10" t="s">
        <v>1</v>
      </c>
      <c r="G1" s="10" t="s">
        <v>2</v>
      </c>
      <c r="H1" s="10" t="s">
        <v>111</v>
      </c>
      <c r="I1" s="16" t="s">
        <v>3</v>
      </c>
      <c r="J1" s="10" t="s">
        <v>4</v>
      </c>
      <c r="K1" s="10" t="s">
        <v>5</v>
      </c>
    </row>
    <row r="2" spans="1:19" ht="15.75" customHeight="1">
      <c r="A2" s="11" t="s">
        <v>6</v>
      </c>
      <c r="B2" s="11" t="str">
        <f>LEFT(A2,6)</f>
        <v>28-JAN</v>
      </c>
      <c r="C2" s="23">
        <v>28</v>
      </c>
      <c r="D2" s="11" t="s">
        <v>154</v>
      </c>
      <c r="E2" s="11" t="str">
        <f t="shared" ref="E2:E32" si="0">RIGHT(A2,2)</f>
        <v>US</v>
      </c>
      <c r="F2" s="11" t="s">
        <v>38</v>
      </c>
      <c r="G2" s="11" t="s">
        <v>7</v>
      </c>
      <c r="H2" s="17" t="str">
        <f>CONCATENATE(G2," ",F2)</f>
        <v>Dell Laptop</v>
      </c>
      <c r="I2" s="17">
        <v>1000</v>
      </c>
      <c r="J2" s="11">
        <v>30</v>
      </c>
      <c r="K2" s="11" t="s">
        <v>8</v>
      </c>
    </row>
    <row r="3" spans="1:19" ht="15.75" customHeight="1">
      <c r="A3" s="12" t="s">
        <v>9</v>
      </c>
      <c r="B3" s="12" t="str">
        <f t="shared" ref="B3:B32" si="1">LEFT(A3,6)</f>
        <v>15-FEB</v>
      </c>
      <c r="C3" s="23">
        <v>15</v>
      </c>
      <c r="D3" s="12" t="s">
        <v>155</v>
      </c>
      <c r="E3" s="12" t="str">
        <f t="shared" si="0"/>
        <v>US</v>
      </c>
      <c r="F3" s="12" t="s">
        <v>10</v>
      </c>
      <c r="G3" s="12" t="s">
        <v>11</v>
      </c>
      <c r="H3" s="18" t="str">
        <f t="shared" ref="H3:H32" si="2">CONCATENATE(G3," ",F3)</f>
        <v>Nike Sneakers</v>
      </c>
      <c r="I3" s="18">
        <v>80</v>
      </c>
      <c r="J3" s="12">
        <v>15</v>
      </c>
      <c r="K3" s="12" t="s">
        <v>12</v>
      </c>
      <c r="L3" s="13"/>
      <c r="M3" s="11"/>
      <c r="N3" s="11"/>
      <c r="O3" s="11"/>
      <c r="P3" s="11"/>
      <c r="Q3" s="11"/>
      <c r="R3" s="11"/>
      <c r="S3" s="11"/>
    </row>
    <row r="4" spans="1:19" ht="15.75" customHeight="1">
      <c r="A4" s="11" t="s">
        <v>13</v>
      </c>
      <c r="B4" s="11" t="str">
        <f t="shared" si="1"/>
        <v>03-MAR</v>
      </c>
      <c r="C4" s="23">
        <v>3</v>
      </c>
      <c r="D4" s="11" t="s">
        <v>156</v>
      </c>
      <c r="E4" s="11" t="str">
        <f t="shared" si="0"/>
        <v>US</v>
      </c>
      <c r="F4" s="11" t="s">
        <v>14</v>
      </c>
      <c r="G4" s="11" t="s">
        <v>15</v>
      </c>
      <c r="H4" s="17" t="str">
        <f t="shared" si="2"/>
        <v>Keurig Coffee Maker</v>
      </c>
      <c r="I4" s="17">
        <v>130</v>
      </c>
      <c r="J4" s="11">
        <v>40</v>
      </c>
      <c r="K4" s="11" t="s">
        <v>16</v>
      </c>
      <c r="L4" s="11"/>
      <c r="M4" s="14"/>
      <c r="N4" s="11"/>
      <c r="O4" s="11"/>
      <c r="P4" s="11"/>
      <c r="Q4" s="11"/>
      <c r="R4" s="11"/>
      <c r="S4" s="11"/>
    </row>
    <row r="5" spans="1:19" ht="15.75" customHeight="1">
      <c r="A5" s="12" t="s">
        <v>17</v>
      </c>
      <c r="B5" s="12" t="str">
        <f t="shared" si="1"/>
        <v>11-APR</v>
      </c>
      <c r="C5" s="23">
        <v>11</v>
      </c>
      <c r="D5" s="12" t="s">
        <v>157</v>
      </c>
      <c r="E5" s="12" t="str">
        <f t="shared" si="0"/>
        <v>US</v>
      </c>
      <c r="F5" s="12" t="s">
        <v>72</v>
      </c>
      <c r="G5" s="12" t="s">
        <v>18</v>
      </c>
      <c r="H5" s="18" t="str">
        <f t="shared" si="2"/>
        <v>Samsung Smartphone</v>
      </c>
      <c r="I5" s="18">
        <v>900</v>
      </c>
      <c r="J5" s="12">
        <v>25</v>
      </c>
      <c r="K5" s="12" t="s">
        <v>8</v>
      </c>
      <c r="L5" s="11"/>
      <c r="M5" s="14"/>
      <c r="N5" s="11"/>
      <c r="O5" s="11"/>
      <c r="P5" s="11"/>
      <c r="Q5" s="11"/>
      <c r="R5" s="11"/>
      <c r="S5" s="11"/>
    </row>
    <row r="6" spans="1:19" ht="15.75" customHeight="1">
      <c r="A6" s="11" t="s">
        <v>19</v>
      </c>
      <c r="B6" s="11" t="str">
        <f t="shared" si="1"/>
        <v>22-MAY</v>
      </c>
      <c r="C6" s="23">
        <v>22</v>
      </c>
      <c r="D6" s="11" t="s">
        <v>158</v>
      </c>
      <c r="E6" s="11" t="str">
        <f t="shared" si="0"/>
        <v>US</v>
      </c>
      <c r="F6" s="11" t="s">
        <v>20</v>
      </c>
      <c r="G6" s="11" t="s">
        <v>21</v>
      </c>
      <c r="H6" s="17" t="str">
        <f t="shared" si="2"/>
        <v>North Face Backpack</v>
      </c>
      <c r="I6" s="17">
        <v>70</v>
      </c>
      <c r="J6" s="11">
        <v>20</v>
      </c>
      <c r="K6" s="11" t="s">
        <v>101</v>
      </c>
    </row>
    <row r="7" spans="1:19" ht="15.75" customHeight="1">
      <c r="A7" s="12" t="s">
        <v>22</v>
      </c>
      <c r="B7" s="12" t="str">
        <f t="shared" si="1"/>
        <v>07-JUN</v>
      </c>
      <c r="C7" s="23">
        <v>7</v>
      </c>
      <c r="D7" s="12" t="s">
        <v>159</v>
      </c>
      <c r="E7" s="12" t="str">
        <f t="shared" si="0"/>
        <v>UK</v>
      </c>
      <c r="F7" s="12" t="s">
        <v>23</v>
      </c>
      <c r="G7" s="12" t="s">
        <v>24</v>
      </c>
      <c r="H7" s="18" t="str">
        <f t="shared" si="2"/>
        <v>Sony Headphones</v>
      </c>
      <c r="I7" s="18">
        <v>309.35483870967744</v>
      </c>
      <c r="J7" s="12">
        <v>45</v>
      </c>
      <c r="K7" s="12" t="s">
        <v>8</v>
      </c>
      <c r="M7" s="15" t="s">
        <v>92</v>
      </c>
      <c r="O7" s="15" t="s">
        <v>141</v>
      </c>
      <c r="Q7" s="15" t="s">
        <v>109</v>
      </c>
    </row>
    <row r="8" spans="1:19" ht="15.75" customHeight="1">
      <c r="A8" s="11" t="s">
        <v>25</v>
      </c>
      <c r="B8" s="11" t="str">
        <f t="shared" si="1"/>
        <v>19-JUL</v>
      </c>
      <c r="C8" s="23">
        <v>19</v>
      </c>
      <c r="D8" s="11" t="s">
        <v>160</v>
      </c>
      <c r="E8" s="11" t="str">
        <f t="shared" si="0"/>
        <v>UK</v>
      </c>
      <c r="F8" s="11" t="s">
        <v>100</v>
      </c>
      <c r="G8" s="11" t="s">
        <v>26</v>
      </c>
      <c r="H8" s="17" t="str">
        <f t="shared" si="2"/>
        <v>Adidas T-Shirt</v>
      </c>
      <c r="I8" s="17">
        <v>30</v>
      </c>
      <c r="J8" s="11">
        <v>5</v>
      </c>
      <c r="K8" s="11" t="s">
        <v>12</v>
      </c>
    </row>
    <row r="9" spans="1:19" ht="15.75" customHeight="1">
      <c r="A9" s="12" t="s">
        <v>27</v>
      </c>
      <c r="B9" s="12" t="str">
        <f t="shared" si="1"/>
        <v>23-AUG</v>
      </c>
      <c r="C9" s="23">
        <v>23</v>
      </c>
      <c r="D9" s="12" t="s">
        <v>161</v>
      </c>
      <c r="E9" s="12" t="str">
        <f t="shared" si="0"/>
        <v>UK</v>
      </c>
      <c r="F9" s="12" t="s">
        <v>28</v>
      </c>
      <c r="G9" s="12" t="s">
        <v>29</v>
      </c>
      <c r="H9" s="18" t="str">
        <f t="shared" si="2"/>
        <v>Ninja Blender</v>
      </c>
      <c r="I9" s="18">
        <v>90</v>
      </c>
      <c r="J9" s="12">
        <v>35</v>
      </c>
      <c r="K9" s="12" t="s">
        <v>16</v>
      </c>
      <c r="M9" s="4" t="s">
        <v>93</v>
      </c>
      <c r="O9" s="4" t="s">
        <v>142</v>
      </c>
      <c r="Q9" s="4" t="s">
        <v>110</v>
      </c>
    </row>
    <row r="10" spans="1:19" ht="15.75" customHeight="1">
      <c r="A10" s="11" t="s">
        <v>30</v>
      </c>
      <c r="B10" s="11" t="str">
        <f t="shared" si="1"/>
        <v>05-SEP</v>
      </c>
      <c r="C10" s="23">
        <v>5</v>
      </c>
      <c r="D10" s="11" t="s">
        <v>162</v>
      </c>
      <c r="E10" s="11" t="str">
        <f t="shared" si="0"/>
        <v>UK</v>
      </c>
      <c r="F10" s="11" t="s">
        <v>31</v>
      </c>
      <c r="G10" s="11" t="s">
        <v>32</v>
      </c>
      <c r="H10" s="17" t="str">
        <f t="shared" si="2"/>
        <v>Apple Tablet</v>
      </c>
      <c r="I10" s="17">
        <v>500</v>
      </c>
      <c r="J10" s="11">
        <v>50</v>
      </c>
      <c r="K10" s="11" t="s">
        <v>8</v>
      </c>
    </row>
    <row r="11" spans="1:19" ht="15.75" customHeight="1">
      <c r="A11" s="12" t="s">
        <v>33</v>
      </c>
      <c r="B11" s="12" t="str">
        <f t="shared" si="1"/>
        <v>14-OCT</v>
      </c>
      <c r="C11" s="23">
        <v>14</v>
      </c>
      <c r="D11" s="12" t="s">
        <v>163</v>
      </c>
      <c r="E11" s="12" t="str">
        <f t="shared" si="0"/>
        <v>UK</v>
      </c>
      <c r="F11" s="12" t="s">
        <v>34</v>
      </c>
      <c r="G11" s="12" t="s">
        <v>35</v>
      </c>
      <c r="H11" s="18" t="str">
        <f t="shared" si="2"/>
        <v>Timberland Hiking Boots</v>
      </c>
      <c r="I11" s="18">
        <v>130</v>
      </c>
      <c r="J11" s="12">
        <v>10</v>
      </c>
      <c r="K11" s="12" t="s">
        <v>36</v>
      </c>
      <c r="M11" s="20" t="s">
        <v>94</v>
      </c>
      <c r="O11" s="4" t="s">
        <v>102</v>
      </c>
      <c r="Q11" s="6" t="s">
        <v>153</v>
      </c>
    </row>
    <row r="12" spans="1:19" ht="15.75" customHeight="1">
      <c r="A12" s="11" t="s">
        <v>37</v>
      </c>
      <c r="B12" s="11" t="str">
        <f t="shared" si="1"/>
        <v>17-JUN</v>
      </c>
      <c r="C12" s="23">
        <v>17</v>
      </c>
      <c r="D12" s="11" t="s">
        <v>159</v>
      </c>
      <c r="E12" s="11" t="str">
        <f t="shared" si="0"/>
        <v>IN</v>
      </c>
      <c r="F12" s="11" t="s">
        <v>38</v>
      </c>
      <c r="G12" s="11" t="s">
        <v>39</v>
      </c>
      <c r="H12" s="17" t="str">
        <f t="shared" si="2"/>
        <v>HP Laptop</v>
      </c>
      <c r="I12" s="17">
        <v>950</v>
      </c>
      <c r="J12" s="11">
        <v>25</v>
      </c>
      <c r="K12" s="11" t="s">
        <v>8</v>
      </c>
      <c r="M12" s="20" t="s">
        <v>95</v>
      </c>
    </row>
    <row r="13" spans="1:19" ht="15.75" customHeight="1">
      <c r="A13" s="12" t="s">
        <v>40</v>
      </c>
      <c r="B13" s="12" t="str">
        <f t="shared" si="1"/>
        <v>25-NOV</v>
      </c>
      <c r="C13" s="23">
        <v>25</v>
      </c>
      <c r="D13" s="12" t="s">
        <v>164</v>
      </c>
      <c r="E13" s="12" t="str">
        <f t="shared" si="0"/>
        <v>AU</v>
      </c>
      <c r="F13" s="12" t="s">
        <v>10</v>
      </c>
      <c r="G13" s="12" t="s">
        <v>26</v>
      </c>
      <c r="H13" s="18" t="str">
        <f t="shared" si="2"/>
        <v>Adidas Sneakers</v>
      </c>
      <c r="I13" s="18">
        <v>90</v>
      </c>
      <c r="J13" s="12">
        <v>40</v>
      </c>
      <c r="K13" s="12" t="s">
        <v>101</v>
      </c>
      <c r="O13" s="22" t="s">
        <v>104</v>
      </c>
    </row>
    <row r="14" spans="1:19" ht="15.75" customHeight="1">
      <c r="A14" s="11" t="s">
        <v>41</v>
      </c>
      <c r="B14" s="11" t="str">
        <f t="shared" si="1"/>
        <v>08-DEC</v>
      </c>
      <c r="C14" s="23">
        <v>8</v>
      </c>
      <c r="D14" s="11" t="s">
        <v>165</v>
      </c>
      <c r="E14" s="11" t="str">
        <f t="shared" si="0"/>
        <v>DE</v>
      </c>
      <c r="F14" s="11" t="s">
        <v>14</v>
      </c>
      <c r="G14" s="11" t="s">
        <v>42</v>
      </c>
      <c r="H14" s="17" t="str">
        <f t="shared" si="2"/>
        <v>Nespresso Coffee Maker</v>
      </c>
      <c r="I14" s="17">
        <v>120</v>
      </c>
      <c r="J14" s="11">
        <v>35</v>
      </c>
      <c r="K14" s="11" t="s">
        <v>101</v>
      </c>
      <c r="M14" s="21" t="s">
        <v>96</v>
      </c>
      <c r="O14" s="22" t="s">
        <v>103</v>
      </c>
      <c r="Q14" s="15" t="s">
        <v>112</v>
      </c>
    </row>
    <row r="15" spans="1:19" ht="15.75" customHeight="1">
      <c r="A15" s="12" t="s">
        <v>43</v>
      </c>
      <c r="B15" s="12" t="str">
        <f t="shared" si="1"/>
        <v>18-FEB</v>
      </c>
      <c r="C15" s="23">
        <v>18</v>
      </c>
      <c r="D15" s="12" t="s">
        <v>155</v>
      </c>
      <c r="E15" s="12" t="str">
        <f t="shared" si="0"/>
        <v>CA</v>
      </c>
      <c r="F15" s="12" t="s">
        <v>44</v>
      </c>
      <c r="G15" s="12" t="s">
        <v>45</v>
      </c>
      <c r="H15" s="18" t="str">
        <f t="shared" si="2"/>
        <v>Fitbit Smartwatch</v>
      </c>
      <c r="I15" s="18">
        <v>150</v>
      </c>
      <c r="J15" s="12">
        <v>15</v>
      </c>
      <c r="K15" s="12" t="s">
        <v>8</v>
      </c>
      <c r="M15" s="19" t="s">
        <v>97</v>
      </c>
    </row>
    <row r="16" spans="1:19" ht="15.75" customHeight="1">
      <c r="A16" s="11" t="s">
        <v>46</v>
      </c>
      <c r="B16" s="11" t="str">
        <f t="shared" si="1"/>
        <v>16-APR</v>
      </c>
      <c r="C16" s="23">
        <v>16</v>
      </c>
      <c r="D16" s="11" t="s">
        <v>157</v>
      </c>
      <c r="E16" s="11" t="str">
        <f t="shared" si="0"/>
        <v>ES</v>
      </c>
      <c r="F16" s="11" t="s">
        <v>23</v>
      </c>
      <c r="G16" s="11" t="s">
        <v>47</v>
      </c>
      <c r="H16" s="17" t="str">
        <f t="shared" si="2"/>
        <v>Bose Headphones</v>
      </c>
      <c r="I16" s="17">
        <v>250</v>
      </c>
      <c r="J16" s="11">
        <v>20</v>
      </c>
      <c r="K16" s="11" t="s">
        <v>8</v>
      </c>
      <c r="O16" s="5" t="s">
        <v>105</v>
      </c>
      <c r="Q16" s="4" t="s">
        <v>113</v>
      </c>
    </row>
    <row r="17" spans="1:17" ht="15.75" customHeight="1">
      <c r="A17" s="12" t="s">
        <v>48</v>
      </c>
      <c r="B17" s="12" t="str">
        <f t="shared" si="1"/>
        <v>21-AUG</v>
      </c>
      <c r="C17" s="23">
        <v>21</v>
      </c>
      <c r="D17" s="12" t="s">
        <v>161</v>
      </c>
      <c r="E17" s="12" t="str">
        <f t="shared" si="0"/>
        <v>CA</v>
      </c>
      <c r="F17" s="12" t="s">
        <v>49</v>
      </c>
      <c r="G17" s="12" t="s">
        <v>50</v>
      </c>
      <c r="H17" s="18" t="str">
        <f t="shared" si="2"/>
        <v>Samsonite Laptop Bag</v>
      </c>
      <c r="I17" s="18">
        <v>50</v>
      </c>
      <c r="J17" s="12">
        <v>35</v>
      </c>
      <c r="K17" s="12" t="s">
        <v>51</v>
      </c>
      <c r="M17" s="5" t="s">
        <v>98</v>
      </c>
      <c r="O17" s="5" t="s">
        <v>143</v>
      </c>
    </row>
    <row r="18" spans="1:17" ht="15.75" customHeight="1">
      <c r="A18" s="11" t="s">
        <v>52</v>
      </c>
      <c r="B18" s="11" t="str">
        <f t="shared" si="1"/>
        <v>20-AUG</v>
      </c>
      <c r="C18" s="23">
        <v>20</v>
      </c>
      <c r="D18" s="11" t="s">
        <v>161</v>
      </c>
      <c r="E18" s="11" t="str">
        <f t="shared" si="0"/>
        <v>CN</v>
      </c>
      <c r="F18" s="11" t="s">
        <v>44</v>
      </c>
      <c r="G18" s="11" t="s">
        <v>53</v>
      </c>
      <c r="H18" s="17" t="str">
        <f t="shared" si="2"/>
        <v>Huawei Smartwatch</v>
      </c>
      <c r="I18" s="17">
        <v>160</v>
      </c>
      <c r="J18" s="11">
        <v>15</v>
      </c>
      <c r="K18" s="11" t="s">
        <v>8</v>
      </c>
      <c r="Q18" s="19" t="s">
        <v>114</v>
      </c>
    </row>
    <row r="19" spans="1:17" ht="15.75" customHeight="1">
      <c r="A19" s="12" t="s">
        <v>54</v>
      </c>
      <c r="B19" s="12" t="str">
        <f t="shared" si="1"/>
        <v>27-JAN</v>
      </c>
      <c r="C19" s="23">
        <v>27</v>
      </c>
      <c r="D19" s="12" t="s">
        <v>154</v>
      </c>
      <c r="E19" s="12" t="str">
        <f t="shared" si="0"/>
        <v>IT</v>
      </c>
      <c r="F19" s="12" t="s">
        <v>38</v>
      </c>
      <c r="G19" s="12" t="s">
        <v>55</v>
      </c>
      <c r="H19" s="18" t="str">
        <f t="shared" si="2"/>
        <v>Asus Laptop</v>
      </c>
      <c r="I19" s="18">
        <v>980</v>
      </c>
      <c r="J19" s="12">
        <v>10</v>
      </c>
      <c r="K19" s="12" t="s">
        <v>8</v>
      </c>
      <c r="M19" s="5" t="s">
        <v>99</v>
      </c>
      <c r="O19" s="4" t="s">
        <v>106</v>
      </c>
    </row>
    <row r="20" spans="1:17" ht="15.75" customHeight="1">
      <c r="A20" s="11" t="s">
        <v>56</v>
      </c>
      <c r="B20" s="11" t="str">
        <f t="shared" si="1"/>
        <v>01-MAR</v>
      </c>
      <c r="C20" s="23">
        <v>1</v>
      </c>
      <c r="D20" s="11" t="s">
        <v>156</v>
      </c>
      <c r="E20" s="11" t="str">
        <f t="shared" si="0"/>
        <v>UK</v>
      </c>
      <c r="F20" s="11" t="s">
        <v>57</v>
      </c>
      <c r="G20" s="11" t="s">
        <v>58</v>
      </c>
      <c r="H20" s="17" t="str">
        <f t="shared" si="2"/>
        <v>Oakley Sunglasses</v>
      </c>
      <c r="I20" s="17">
        <v>150</v>
      </c>
      <c r="J20" s="11">
        <v>15</v>
      </c>
      <c r="K20" s="11" t="s">
        <v>12</v>
      </c>
      <c r="Q20" s="6" t="s">
        <v>134</v>
      </c>
    </row>
    <row r="21" spans="1:17" ht="15.75" customHeight="1">
      <c r="A21" s="12" t="s">
        <v>59</v>
      </c>
      <c r="B21" s="12" t="str">
        <f t="shared" si="1"/>
        <v>14-AUG</v>
      </c>
      <c r="C21" s="23">
        <v>14</v>
      </c>
      <c r="D21" s="12" t="s">
        <v>161</v>
      </c>
      <c r="E21" s="12" t="str">
        <f t="shared" si="0"/>
        <v>US</v>
      </c>
      <c r="F21" s="12" t="s">
        <v>60</v>
      </c>
      <c r="G21" s="12" t="s">
        <v>61</v>
      </c>
      <c r="H21" s="18" t="str">
        <f t="shared" si="2"/>
        <v>Coleman Camping Tent</v>
      </c>
      <c r="I21" s="18">
        <v>309.35483870967744</v>
      </c>
      <c r="J21" s="12">
        <v>10</v>
      </c>
      <c r="K21" s="12" t="s">
        <v>36</v>
      </c>
      <c r="O21" s="19" t="s">
        <v>144</v>
      </c>
      <c r="Q21" s="6" t="s">
        <v>115</v>
      </c>
    </row>
    <row r="22" spans="1:17" ht="15.75" customHeight="1">
      <c r="A22" s="11" t="s">
        <v>62</v>
      </c>
      <c r="B22" s="11" t="str">
        <f t="shared" si="1"/>
        <v>14-MAY</v>
      </c>
      <c r="C22" s="23">
        <v>14</v>
      </c>
      <c r="D22" s="11" t="s">
        <v>158</v>
      </c>
      <c r="E22" s="11" t="str">
        <f t="shared" si="0"/>
        <v>RU</v>
      </c>
      <c r="F22" s="11" t="s">
        <v>63</v>
      </c>
      <c r="G22" s="11" t="s">
        <v>64</v>
      </c>
      <c r="H22" s="17" t="str">
        <f t="shared" si="2"/>
        <v>Nikon Camera</v>
      </c>
      <c r="I22" s="17">
        <v>700</v>
      </c>
      <c r="J22" s="11">
        <v>50</v>
      </c>
      <c r="K22" s="11" t="s">
        <v>8</v>
      </c>
      <c r="M22" s="4" t="s">
        <v>138</v>
      </c>
      <c r="O22" s="19" t="s">
        <v>107</v>
      </c>
    </row>
    <row r="23" spans="1:17" ht="15.75" customHeight="1">
      <c r="A23" s="12" t="s">
        <v>65</v>
      </c>
      <c r="B23" s="12" t="str">
        <f t="shared" si="1"/>
        <v>09-JAN</v>
      </c>
      <c r="C23" s="23">
        <v>9</v>
      </c>
      <c r="D23" s="12" t="s">
        <v>154</v>
      </c>
      <c r="E23" s="12" t="str">
        <f t="shared" si="0"/>
        <v>CA</v>
      </c>
      <c r="F23" s="12" t="s">
        <v>66</v>
      </c>
      <c r="G23" s="12" t="s">
        <v>67</v>
      </c>
      <c r="H23" s="18" t="str">
        <f t="shared" si="2"/>
        <v>Panasonic Microwave</v>
      </c>
      <c r="I23" s="18">
        <v>80</v>
      </c>
      <c r="J23" s="12">
        <v>20</v>
      </c>
      <c r="K23" s="12" t="s">
        <v>16</v>
      </c>
      <c r="O23" s="19" t="s">
        <v>108</v>
      </c>
      <c r="Q23" s="4" t="s">
        <v>116</v>
      </c>
    </row>
    <row r="24" spans="1:17" ht="15.75" customHeight="1">
      <c r="A24" s="11" t="s">
        <v>68</v>
      </c>
      <c r="B24" s="11" t="str">
        <f t="shared" si="1"/>
        <v>19-JUL</v>
      </c>
      <c r="C24" s="23">
        <v>19</v>
      </c>
      <c r="D24" s="11" t="s">
        <v>160</v>
      </c>
      <c r="E24" s="11" t="str">
        <f t="shared" si="0"/>
        <v>BR</v>
      </c>
      <c r="F24" s="11" t="s">
        <v>69</v>
      </c>
      <c r="G24" s="11" t="s">
        <v>70</v>
      </c>
      <c r="H24" s="17" t="str">
        <f t="shared" si="2"/>
        <v>Xiaomi Fitness Tracker</v>
      </c>
      <c r="I24" s="17">
        <v>150</v>
      </c>
      <c r="J24" s="11">
        <v>30</v>
      </c>
      <c r="K24" s="11" t="s">
        <v>101</v>
      </c>
      <c r="M24" s="20" t="s">
        <v>94</v>
      </c>
    </row>
    <row r="25" spans="1:17" ht="15.75" customHeight="1">
      <c r="A25" s="11" t="s">
        <v>71</v>
      </c>
      <c r="B25" s="11" t="str">
        <f t="shared" si="1"/>
        <v>29-SEP</v>
      </c>
      <c r="C25" s="23">
        <v>29</v>
      </c>
      <c r="D25" s="11" t="s">
        <v>162</v>
      </c>
      <c r="E25" s="11" t="str">
        <f t="shared" si="0"/>
        <v>CA</v>
      </c>
      <c r="F25" s="11" t="s">
        <v>72</v>
      </c>
      <c r="G25" s="11" t="s">
        <v>73</v>
      </c>
      <c r="H25" s="17" t="str">
        <f t="shared" si="2"/>
        <v>Google Smartphone</v>
      </c>
      <c r="I25" s="17">
        <v>800</v>
      </c>
      <c r="J25" s="11">
        <v>45</v>
      </c>
      <c r="K25" s="11" t="s">
        <v>8</v>
      </c>
      <c r="M25" s="20" t="s">
        <v>139</v>
      </c>
      <c r="O25" s="7" t="s">
        <v>145</v>
      </c>
      <c r="Q25" s="7" t="s">
        <v>117</v>
      </c>
    </row>
    <row r="26" spans="1:17" ht="15.75" customHeight="1">
      <c r="A26" s="12" t="s">
        <v>74</v>
      </c>
      <c r="B26" s="12" t="str">
        <f t="shared" si="1"/>
        <v>03-JUN</v>
      </c>
      <c r="C26" s="23">
        <v>3</v>
      </c>
      <c r="D26" s="12" t="s">
        <v>159</v>
      </c>
      <c r="E26" s="12" t="str">
        <f t="shared" si="0"/>
        <v>CA</v>
      </c>
      <c r="F26" s="12" t="s">
        <v>57</v>
      </c>
      <c r="G26" s="12" t="s">
        <v>75</v>
      </c>
      <c r="H26" s="18" t="str">
        <f t="shared" si="2"/>
        <v>Ray-Ban Sunglasses</v>
      </c>
      <c r="I26" s="18">
        <v>309.35483870967744</v>
      </c>
      <c r="J26" s="12">
        <v>25</v>
      </c>
      <c r="K26" s="12" t="s">
        <v>12</v>
      </c>
      <c r="Q26" s="6" t="s">
        <v>118</v>
      </c>
    </row>
    <row r="27" spans="1:17" ht="15.75" customHeight="1">
      <c r="A27" s="11" t="s">
        <v>76</v>
      </c>
      <c r="B27" s="11" t="str">
        <f t="shared" si="1"/>
        <v>11-JUL</v>
      </c>
      <c r="C27" s="23">
        <v>11</v>
      </c>
      <c r="D27" s="11" t="s">
        <v>160</v>
      </c>
      <c r="E27" s="11" t="str">
        <f t="shared" si="0"/>
        <v>CA</v>
      </c>
      <c r="F27" s="11" t="s">
        <v>28</v>
      </c>
      <c r="G27" s="11" t="s">
        <v>77</v>
      </c>
      <c r="H27" s="17" t="str">
        <f t="shared" si="2"/>
        <v>Vitamix Blender</v>
      </c>
      <c r="I27" s="17">
        <v>400</v>
      </c>
      <c r="J27" s="11">
        <v>40</v>
      </c>
      <c r="K27" s="11" t="s">
        <v>16</v>
      </c>
      <c r="M27" s="21" t="s">
        <v>135</v>
      </c>
    </row>
    <row r="28" spans="1:17" ht="15.75" customHeight="1">
      <c r="A28" s="11" t="s">
        <v>78</v>
      </c>
      <c r="B28" s="11" t="str">
        <f t="shared" si="1"/>
        <v>07-MAR</v>
      </c>
      <c r="C28" s="23">
        <v>7</v>
      </c>
      <c r="D28" s="11" t="s">
        <v>156</v>
      </c>
      <c r="E28" s="11" t="str">
        <f t="shared" si="0"/>
        <v>CA</v>
      </c>
      <c r="F28" s="11" t="s">
        <v>79</v>
      </c>
      <c r="G28" s="11" t="s">
        <v>80</v>
      </c>
      <c r="H28" s="17" t="str">
        <f t="shared" si="2"/>
        <v>Zara Dress</v>
      </c>
      <c r="I28" s="17">
        <v>60</v>
      </c>
      <c r="J28" s="11">
        <v>30</v>
      </c>
      <c r="K28" s="11" t="s">
        <v>12</v>
      </c>
      <c r="M28" s="19" t="s">
        <v>136</v>
      </c>
    </row>
    <row r="29" spans="1:17" ht="15.75" customHeight="1">
      <c r="A29" s="12" t="s">
        <v>81</v>
      </c>
      <c r="B29" s="12" t="str">
        <f t="shared" si="1"/>
        <v>13-APR</v>
      </c>
      <c r="C29" s="23">
        <v>13</v>
      </c>
      <c r="D29" s="12" t="s">
        <v>157</v>
      </c>
      <c r="E29" s="12" t="str">
        <f t="shared" si="0"/>
        <v>CA</v>
      </c>
      <c r="F29" s="12" t="s">
        <v>82</v>
      </c>
      <c r="G29" s="12" t="s">
        <v>83</v>
      </c>
      <c r="H29" s="18" t="str">
        <f t="shared" si="2"/>
        <v>Hamilton Toaster</v>
      </c>
      <c r="I29" s="18">
        <v>40</v>
      </c>
      <c r="J29" s="12">
        <v>10</v>
      </c>
      <c r="K29" s="12" t="s">
        <v>16</v>
      </c>
    </row>
    <row r="30" spans="1:17" ht="15.75" customHeight="1">
      <c r="A30" s="11" t="s">
        <v>84</v>
      </c>
      <c r="B30" s="11" t="str">
        <f t="shared" si="1"/>
        <v>24-MAY</v>
      </c>
      <c r="C30" s="23">
        <v>24</v>
      </c>
      <c r="D30" s="11" t="s">
        <v>158</v>
      </c>
      <c r="E30" s="11" t="str">
        <f t="shared" si="0"/>
        <v>CA</v>
      </c>
      <c r="F30" s="11" t="s">
        <v>69</v>
      </c>
      <c r="G30" s="11" t="s">
        <v>85</v>
      </c>
      <c r="H30" s="17" t="str">
        <f t="shared" si="2"/>
        <v>Garmin Fitness Tracker</v>
      </c>
      <c r="I30" s="17">
        <v>130</v>
      </c>
      <c r="J30" s="11">
        <v>5</v>
      </c>
      <c r="K30" s="11" t="s">
        <v>8</v>
      </c>
      <c r="M30" s="5" t="s">
        <v>137</v>
      </c>
    </row>
    <row r="31" spans="1:17" ht="15.75" customHeight="1">
      <c r="A31" s="12" t="s">
        <v>86</v>
      </c>
      <c r="B31" s="12" t="str">
        <f t="shared" si="1"/>
        <v>02-DEC</v>
      </c>
      <c r="C31" s="23">
        <v>2</v>
      </c>
      <c r="D31" s="12" t="s">
        <v>165</v>
      </c>
      <c r="E31" s="12" t="str">
        <f t="shared" si="0"/>
        <v>CA</v>
      </c>
      <c r="F31" s="12" t="s">
        <v>87</v>
      </c>
      <c r="G31" s="12" t="s">
        <v>88</v>
      </c>
      <c r="H31" s="18" t="str">
        <f t="shared" si="2"/>
        <v>Levi's Jeans</v>
      </c>
      <c r="I31" s="18">
        <v>50</v>
      </c>
      <c r="J31" s="12">
        <v>50</v>
      </c>
      <c r="K31" s="12" t="s">
        <v>12</v>
      </c>
    </row>
    <row r="32" spans="1:17" ht="15.75" customHeight="1">
      <c r="A32" s="12" t="s">
        <v>89</v>
      </c>
      <c r="B32" s="12" t="str">
        <f t="shared" si="1"/>
        <v>09-JUL</v>
      </c>
      <c r="C32" s="23">
        <v>9</v>
      </c>
      <c r="D32" s="12" t="s">
        <v>160</v>
      </c>
      <c r="E32" s="12" t="str">
        <f t="shared" si="0"/>
        <v>FR</v>
      </c>
      <c r="F32" s="12" t="s">
        <v>90</v>
      </c>
      <c r="G32" s="12" t="s">
        <v>91</v>
      </c>
      <c r="H32" s="18" t="str">
        <f t="shared" si="2"/>
        <v>Casio Watch</v>
      </c>
      <c r="I32" s="18">
        <v>100</v>
      </c>
      <c r="J32" s="12">
        <v>20</v>
      </c>
      <c r="K32" s="12" t="s">
        <v>51</v>
      </c>
      <c r="M32" s="6" t="s">
        <v>140</v>
      </c>
    </row>
    <row r="33" spans="9:15" ht="15.75" customHeight="1">
      <c r="I33"/>
    </row>
    <row r="34" spans="9:15" ht="15.75" customHeight="1">
      <c r="I34"/>
    </row>
    <row r="35" spans="9:15" ht="15.75" customHeight="1">
      <c r="I35"/>
    </row>
    <row r="36" spans="9:15" ht="15.75" customHeight="1">
      <c r="M36" s="15" t="s">
        <v>119</v>
      </c>
      <c r="O36" s="15" t="s">
        <v>127</v>
      </c>
    </row>
    <row r="37" spans="9:15" ht="15.75" customHeight="1"/>
    <row r="38" spans="9:15" ht="15.75" customHeight="1">
      <c r="M38" s="8" t="s">
        <v>120</v>
      </c>
      <c r="O38" s="8" t="s">
        <v>128</v>
      </c>
    </row>
    <row r="39" spans="9:15" ht="15.75" customHeight="1"/>
    <row r="40" spans="9:15" ht="15.75" customHeight="1">
      <c r="M40" s="19" t="s">
        <v>124</v>
      </c>
      <c r="O40" s="22" t="s">
        <v>129</v>
      </c>
    </row>
    <row r="41" spans="9:15" ht="15.75" customHeight="1"/>
    <row r="42" spans="9:15" ht="15.75" customHeight="1">
      <c r="M42" s="19" t="s">
        <v>121</v>
      </c>
      <c r="O42" s="7" t="s">
        <v>169</v>
      </c>
    </row>
    <row r="43" spans="9:15" ht="15.75" customHeight="1">
      <c r="O43" s="7" t="s">
        <v>130</v>
      </c>
    </row>
    <row r="44" spans="9:15" ht="15.75" customHeight="1">
      <c r="M44" s="6" t="s">
        <v>122</v>
      </c>
      <c r="O44" s="3"/>
    </row>
    <row r="45" spans="9:15" ht="15.75" customHeight="1">
      <c r="O45" s="6" t="s">
        <v>131</v>
      </c>
    </row>
    <row r="46" spans="9:15" ht="15.75" customHeight="1">
      <c r="M46" s="19" t="s">
        <v>123</v>
      </c>
    </row>
    <row r="47" spans="9:15" ht="15.75" customHeight="1"/>
    <row r="48" spans="9:15" ht="15.75" customHeight="1">
      <c r="M48" s="19" t="s">
        <v>125</v>
      </c>
      <c r="O48" s="22" t="s">
        <v>132</v>
      </c>
    </row>
    <row r="49" spans="13:15" ht="15.75" customHeight="1">
      <c r="M49" s="19" t="s">
        <v>126</v>
      </c>
    </row>
    <row r="50" spans="13:15" ht="15.75" customHeight="1">
      <c r="O50" s="22" t="s">
        <v>133</v>
      </c>
    </row>
    <row r="51" spans="13:15" ht="15.75" customHeight="1">
      <c r="M51" s="9">
        <v>28</v>
      </c>
    </row>
    <row r="52" spans="13:15" ht="15.75" customHeight="1">
      <c r="M52" s="7" t="s">
        <v>166</v>
      </c>
      <c r="O52" s="7" t="s">
        <v>169</v>
      </c>
    </row>
    <row r="53" spans="13:15" ht="15.75" customHeight="1">
      <c r="M53" s="3"/>
      <c r="O53" s="7" t="s">
        <v>171</v>
      </c>
    </row>
    <row r="54" spans="13:15" ht="15.75" customHeight="1"/>
    <row r="55" spans="13:15" ht="15.75" customHeight="1">
      <c r="O55" s="6" t="s">
        <v>170</v>
      </c>
    </row>
    <row r="56" spans="13:15" ht="15.75" customHeight="1"/>
    <row r="57" spans="13:15" ht="15.75" customHeight="1"/>
    <row r="58" spans="13:15" ht="15.75" customHeight="1"/>
    <row r="59" spans="13:15" ht="15.75" customHeight="1"/>
    <row r="60" spans="13:15" ht="15.75" customHeight="1"/>
    <row r="61" spans="13:15" ht="15.75" customHeight="1"/>
    <row r="62" spans="13:15" ht="15.75" customHeight="1"/>
    <row r="63" spans="13:15" ht="15.75" customHeight="1"/>
    <row r="64" spans="13:1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1:I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ntainsText" dxfId="4" priority="3" operator="containsText" text="electronics">
      <formula>NOT(ISERROR(SEARCH("electronics",K1)))</formula>
    </cfRule>
    <cfRule type="containsText" dxfId="3" priority="4" operator="containsText" text="Electronics">
      <formula>NOT(ISERROR(SEARCH("Electronics",K1)))</formula>
    </cfRule>
  </conditionalFormatting>
  <conditionalFormatting sqref="K2:K32">
    <cfRule type="expression" dxfId="2" priority="5">
      <formula>"Electronics"</formula>
    </cfRule>
  </conditionalFormatting>
  <conditionalFormatting sqref="K25">
    <cfRule type="containsText" dxfId="1" priority="1" operator="containsText" text="Electronics">
      <formula>NOT(ISERROR(SEARCH("Electronics",K25)))</formula>
    </cfRule>
    <cfRule type="containsText" dxfId="0" priority="2" operator="containsText" text="Electronics">
      <formula>NOT(ISERROR(SEARCH("Electronics",K25)))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Imputed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</dc:creator>
  <cp:lastModifiedBy>umasaji23@outlook.com</cp:lastModifiedBy>
  <dcterms:created xsi:type="dcterms:W3CDTF">2026-05-31T13:05:37Z</dcterms:created>
  <dcterms:modified xsi:type="dcterms:W3CDTF">2026-08-28T13:35:31Z</dcterms:modified>
</cp:coreProperties>
</file>